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ath\data\thaicorp\webdisplayprocess\"/>
    </mc:Choice>
  </mc:AlternateContent>
  <xr:revisionPtr revIDLastSave="0" documentId="13_ncr:1_{4CD2BBD0-AAC0-4D23-9EB2-E0540A3680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ocation Plan" sheetId="2" r:id="rId1"/>
  </sheets>
  <definedNames>
    <definedName name="_xlnm._FilterDatabase" localSheetId="0" hidden="1">'Allocation Plan'!$A$3:$V$52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2" l="1"/>
  <c r="V50" i="2"/>
  <c r="U50" i="2"/>
  <c r="T50" i="2"/>
  <c r="R50" i="2"/>
  <c r="P50" i="2"/>
  <c r="N50" i="2"/>
  <c r="M50" i="2"/>
  <c r="L50" i="2"/>
  <c r="J50" i="2"/>
  <c r="H50" i="2"/>
  <c r="V46" i="2"/>
  <c r="U46" i="2"/>
  <c r="T46" i="2"/>
  <c r="R46" i="2"/>
  <c r="P46" i="2"/>
  <c r="N46" i="2"/>
  <c r="M46" i="2"/>
  <c r="L46" i="2"/>
  <c r="J46" i="2"/>
  <c r="H46" i="2"/>
  <c r="V44" i="2"/>
  <c r="U44" i="2"/>
  <c r="T44" i="2"/>
  <c r="R44" i="2"/>
  <c r="P44" i="2"/>
  <c r="N44" i="2"/>
  <c r="M44" i="2"/>
  <c r="L44" i="2"/>
  <c r="J44" i="2"/>
  <c r="H44" i="2"/>
  <c r="V42" i="2"/>
  <c r="U42" i="2"/>
  <c r="T42" i="2"/>
  <c r="R42" i="2"/>
  <c r="P42" i="2"/>
  <c r="N42" i="2"/>
  <c r="M42" i="2"/>
  <c r="L42" i="2"/>
  <c r="J42" i="2"/>
  <c r="H42" i="2"/>
  <c r="V37" i="2"/>
  <c r="U37" i="2"/>
  <c r="T37" i="2"/>
  <c r="R37" i="2"/>
  <c r="P37" i="2"/>
  <c r="N37" i="2"/>
  <c r="M37" i="2"/>
  <c r="L37" i="2"/>
  <c r="J37" i="2"/>
  <c r="H37" i="2"/>
  <c r="V33" i="2"/>
  <c r="U33" i="2"/>
  <c r="T33" i="2"/>
  <c r="R33" i="2"/>
  <c r="P33" i="2"/>
  <c r="N33" i="2"/>
  <c r="M33" i="2"/>
  <c r="L33" i="2"/>
  <c r="J33" i="2"/>
  <c r="H33" i="2"/>
  <c r="V27" i="2"/>
  <c r="U27" i="2"/>
  <c r="T27" i="2"/>
  <c r="R27" i="2"/>
  <c r="P27" i="2"/>
  <c r="N27" i="2"/>
  <c r="M27" i="2"/>
  <c r="L27" i="2"/>
  <c r="J27" i="2"/>
  <c r="H27" i="2"/>
  <c r="V17" i="2"/>
  <c r="U17" i="2"/>
  <c r="T17" i="2"/>
  <c r="R17" i="2"/>
  <c r="P17" i="2"/>
  <c r="N17" i="2"/>
  <c r="M17" i="2"/>
  <c r="L17" i="2"/>
  <c r="J17" i="2"/>
  <c r="H17" i="2"/>
  <c r="U9" i="2"/>
  <c r="T9" i="2"/>
  <c r="R9" i="2"/>
  <c r="P9" i="2"/>
  <c r="N9" i="2"/>
  <c r="M9" i="2"/>
  <c r="L9" i="2"/>
  <c r="J9" i="2"/>
  <c r="H9" i="2"/>
  <c r="U38" i="2" l="1"/>
  <c r="R38" i="2"/>
  <c r="V38" i="2"/>
  <c r="T38" i="2"/>
  <c r="R51" i="2"/>
  <c r="P51" i="2"/>
  <c r="N51" i="2"/>
  <c r="P38" i="2"/>
  <c r="N38" i="2"/>
  <c r="L38" i="2"/>
  <c r="J38" i="2"/>
  <c r="H38" i="2"/>
  <c r="M51" i="2"/>
  <c r="L51" i="2"/>
  <c r="J51" i="2"/>
  <c r="H51" i="2"/>
  <c r="V51" i="2"/>
  <c r="U51" i="2"/>
  <c r="T51" i="2"/>
  <c r="M38" i="2"/>
  <c r="R52" i="2" l="1"/>
  <c r="U52" i="2"/>
  <c r="P52" i="2"/>
  <c r="V52" i="2"/>
  <c r="T52" i="2"/>
  <c r="N52" i="2"/>
  <c r="H52" i="2"/>
  <c r="L52" i="2"/>
  <c r="J52" i="2"/>
  <c r="M52" i="2"/>
</calcChain>
</file>

<file path=xl/sharedStrings.xml><?xml version="1.0" encoding="utf-8"?>
<sst xmlns="http://schemas.openxmlformats.org/spreadsheetml/2006/main" count="251" uniqueCount="132">
  <si>
    <t>HQ</t>
  </si>
  <si>
    <t>Area</t>
  </si>
  <si>
    <t>Distributor</t>
  </si>
  <si>
    <t>North</t>
  </si>
  <si>
    <t>North East</t>
  </si>
  <si>
    <t>Vacant</t>
  </si>
  <si>
    <t>Frame</t>
  </si>
  <si>
    <t>Nguyễn Đình Thái (HP)</t>
  </si>
  <si>
    <t>Hanoi</t>
  </si>
  <si>
    <t>Phạm Quốc Toản</t>
  </si>
  <si>
    <t>Vũ Tuyết Hiền</t>
  </si>
  <si>
    <t>Standee</t>
  </si>
  <si>
    <t>Phạm Văn Quân</t>
  </si>
  <si>
    <t>North West</t>
  </si>
  <si>
    <t>Nguyễn Ngọc Long</t>
  </si>
  <si>
    <t>North Coast</t>
  </si>
  <si>
    <t>South</t>
  </si>
  <si>
    <t>HCMC</t>
  </si>
  <si>
    <t>Nguyễn Thị Thủy</t>
  </si>
  <si>
    <t>Ngô Thành Ý</t>
  </si>
  <si>
    <t>Lê Trần Kim Khánh</t>
  </si>
  <si>
    <t>Võ Thị Thanh Trà</t>
  </si>
  <si>
    <t>Phạm Hữu Hạnh</t>
  </si>
  <si>
    <t>Lý Đỗ Phương</t>
  </si>
  <si>
    <t>Bùi Thị Thanh Thủy</t>
  </si>
  <si>
    <t>NMK</t>
  </si>
  <si>
    <t>Phạm Thị Anh Thư</t>
  </si>
  <si>
    <t>Phạm Trần Quang</t>
  </si>
  <si>
    <t>Huỳnh Văn Giàu</t>
  </si>
  <si>
    <t>Hoàng Anh Tú</t>
  </si>
  <si>
    <t>Trần Thanh Nhã</t>
  </si>
  <si>
    <t>Phạm Chiến Thắng</t>
  </si>
  <si>
    <t>Central</t>
  </si>
  <si>
    <t>Vũ Ngọc Hải</t>
  </si>
  <si>
    <t>HLEC</t>
  </si>
  <si>
    <t>CDM</t>
  </si>
  <si>
    <t>KAM</t>
  </si>
  <si>
    <t>Distributor Code</t>
  </si>
  <si>
    <t>Frame Mix</t>
  </si>
  <si>
    <t>Standee Mix</t>
  </si>
  <si>
    <t>ALLOCATE POSM (MIX)</t>
  </si>
  <si>
    <t>Frame BiteeZ</t>
  </si>
  <si>
    <t>Standee BiteeZ</t>
  </si>
  <si>
    <t>ALLOCATE POSM (BITEEZ)</t>
  </si>
  <si>
    <t>Allocation Plan</t>
  </si>
  <si>
    <t>Hanger</t>
  </si>
  <si>
    <t>Châu Quí</t>
  </si>
  <si>
    <t>NPP107</t>
  </si>
  <si>
    <t>Hoàng Phong</t>
  </si>
  <si>
    <t>Nguyễn Thanh Bình</t>
  </si>
  <si>
    <t>NPP215</t>
  </si>
  <si>
    <t>Mai Liên Thành</t>
  </si>
  <si>
    <t>NPP263</t>
  </si>
  <si>
    <t>Thái Sơn</t>
  </si>
  <si>
    <t>Nguyễn Minh Tâm</t>
  </si>
  <si>
    <t>NPP296</t>
  </si>
  <si>
    <t>Vạn Thành Công</t>
  </si>
  <si>
    <t>NPP309</t>
  </si>
  <si>
    <t>68 Food</t>
  </si>
  <si>
    <t>NPP10</t>
  </si>
  <si>
    <t>Diệp Tuyết Mai</t>
  </si>
  <si>
    <t>NPP297</t>
  </si>
  <si>
    <t>Nhi Tường</t>
  </si>
  <si>
    <t>Trương Hào Hiệp</t>
  </si>
  <si>
    <t>NPP268</t>
  </si>
  <si>
    <t>Trần Mỹ Kim</t>
  </si>
  <si>
    <t>Nguyễn Hải Âu</t>
  </si>
  <si>
    <t>Phương Nghi</t>
  </si>
  <si>
    <t>Lê Thanh Tiến</t>
  </si>
  <si>
    <t>Thuận Thiên</t>
  </si>
  <si>
    <t>NPP282</t>
  </si>
  <si>
    <t>Văn Mai Hưng</t>
  </si>
  <si>
    <t>SMK</t>
  </si>
  <si>
    <t>Nguyễn Hong Kong</t>
  </si>
  <si>
    <t>NPP312</t>
  </si>
  <si>
    <t>Khang Gia Phát</t>
  </si>
  <si>
    <t>Phan Hồ Thanh Trúc</t>
  </si>
  <si>
    <t>NPP302</t>
  </si>
  <si>
    <t>Kim Loan</t>
  </si>
  <si>
    <t>NPP262</t>
  </si>
  <si>
    <t>Ngọc San</t>
  </si>
  <si>
    <t>NPP311</t>
  </si>
  <si>
    <t>Nguyễn Hồ</t>
  </si>
  <si>
    <t>Nguyễn Trung Hiếu</t>
  </si>
  <si>
    <t>NPP246</t>
  </si>
  <si>
    <t>Nhi Phước Thành</t>
  </si>
  <si>
    <t>NPP307</t>
  </si>
  <si>
    <t>Thiện Vân Minh Phát</t>
  </si>
  <si>
    <t>NPP284</t>
  </si>
  <si>
    <t>Thành Tiến Đạt</t>
  </si>
  <si>
    <t>NPP269</t>
  </si>
  <si>
    <t>Thiên Ân</t>
  </si>
  <si>
    <t>KEYSMK03</t>
  </si>
  <si>
    <t>Tư Muỗi</t>
  </si>
  <si>
    <t>Eastern</t>
  </si>
  <si>
    <t>NPP5</t>
  </si>
  <si>
    <t>Bạch Mai</t>
  </si>
  <si>
    <t>NPP228</t>
  </si>
  <si>
    <t>Đồng Thuận</t>
  </si>
  <si>
    <t>NPP255</t>
  </si>
  <si>
    <t>Hoàng Anh Khoa</t>
  </si>
  <si>
    <t>NPP292</t>
  </si>
  <si>
    <t>Quân Lộc Phát</t>
  </si>
  <si>
    <t>NPP7</t>
  </si>
  <si>
    <t>Song Nhiên</t>
  </si>
  <si>
    <t>Bùi Công Phước</t>
  </si>
  <si>
    <t>NPP196</t>
  </si>
  <si>
    <t>Thái Đông Hưng</t>
  </si>
  <si>
    <t>Hồ Văn Tiến</t>
  </si>
  <si>
    <t>Phát Phước Đức</t>
  </si>
  <si>
    <t>Minh Toàn</t>
  </si>
  <si>
    <t>Central + HL</t>
  </si>
  <si>
    <t>Sounth</t>
  </si>
  <si>
    <t>NPP247</t>
  </si>
  <si>
    <t>Hải Đạt</t>
  </si>
  <si>
    <t>NPP306</t>
  </si>
  <si>
    <t>Mai Linh</t>
  </si>
  <si>
    <t>NPP227</t>
  </si>
  <si>
    <t>Trường Minh</t>
  </si>
  <si>
    <t>NPP240</t>
  </si>
  <si>
    <t>Huyền Hảo</t>
  </si>
  <si>
    <t>Nguyễn Thanh Quỳnh</t>
  </si>
  <si>
    <t>NPP285</t>
  </si>
  <si>
    <t>Thanh Lê</t>
  </si>
  <si>
    <t>NPP310</t>
  </si>
  <si>
    <t>Phong Quyên</t>
  </si>
  <si>
    <t>NPP206</t>
  </si>
  <si>
    <t>Thảo Nguyên Vina</t>
  </si>
  <si>
    <t>NPP283</t>
  </si>
  <si>
    <t>Uyên Cường</t>
  </si>
  <si>
    <t>National</t>
  </si>
  <si>
    <t>New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</si>
</sst>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C1F0C8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2" xfId="0" applyFont="1" applyBorder="1"/>
    <xf numFmtId="0" fontId="5" fillId="5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/>
    <xf numFmtId="165" fontId="0" fillId="0" borderId="2" xfId="1" applyNumberFormat="1" applyFont="1" applyBorder="1"/>
    <xf numFmtId="0" fontId="4" fillId="3" borderId="2" xfId="0" applyFont="1" applyFill="1" applyBorder="1"/>
    <xf numFmtId="165" fontId="4" fillId="0" borderId="2" xfId="1" applyNumberFormat="1" applyFont="1" applyBorder="1"/>
    <xf numFmtId="0" fontId="1" fillId="3" borderId="1" xfId="0" applyFont="1" applyFill="1" applyBorder="1" applyAlignment="1">
      <alignment vertical="center"/>
    </xf>
    <xf numFmtId="165" fontId="0" fillId="3" borderId="2" xfId="1" applyNumberFormat="1" applyFont="1" applyFill="1" applyBorder="1"/>
    <xf numFmtId="165" fontId="0" fillId="0" borderId="2" xfId="1" applyNumberFormat="1" applyFont="1" applyFill="1" applyBorder="1"/>
    <xf numFmtId="0" fontId="1" fillId="2" borderId="1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/>
    <xf numFmtId="165" fontId="0" fillId="4" borderId="2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5" fillId="6" borderId="2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0" xfId="0" applyFill="1"/>
    <xf numFmtId="0" fontId="1" fillId="7" borderId="2" xfId="0" applyFont="1" applyFill="1" applyBorder="1" applyAlignment="1">
      <alignment vertical="center"/>
    </xf>
    <xf numFmtId="165" fontId="0" fillId="7" borderId="2" xfId="1" applyNumberFormat="1" applyFont="1" applyFill="1" applyBorder="1"/>
    <xf numFmtId="0" fontId="5" fillId="8" borderId="4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165" fontId="0" fillId="9" borderId="2" xfId="1" applyNumberFormat="1" applyFont="1" applyFill="1" applyBorder="1"/>
    <xf numFmtId="0" fontId="1" fillId="3" borderId="2" xfId="0" applyFont="1" applyFill="1" applyBorder="1"/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C1F0C8"/>
      <color rgb="FF47D359"/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216E-21AD-4191-ABBC-7A78E9446588}">
  <dimension ref="A1:V52"/>
  <sheetViews>
    <sheetView tabSelected="1" workbookViewId="0">
      <pane ySplit="2" topLeftCell="A3" activePane="bottomLeft" state="frozen"/>
      <selection pane="bottomLeft" activeCell="W11" sqref="W11"/>
    </sheetView>
  </sheetViews>
  <sheetFormatPr defaultRowHeight="14.4" x14ac:dyDescent="0.3"/>
  <cols>
    <col min="3" max="3" width="19.44140625" customWidth="1"/>
    <col min="4" max="4" width="18" customWidth="1"/>
    <col min="6" max="6" width="17.6640625" customWidth="1"/>
    <col min="7" max="7" width="1.6640625" customWidth="1"/>
    <col min="8" max="8" width="8.88671875" customWidth="1"/>
    <col min="9" max="9" width="1.6640625" customWidth="1"/>
    <col min="10" max="10" width="8.88671875" customWidth="1"/>
    <col min="11" max="11" width="1.6640625" customWidth="1"/>
    <col min="15" max="15" width="1.6640625" customWidth="1"/>
    <col min="16" max="16" width="8.88671875" customWidth="1"/>
    <col min="17" max="17" width="1.6640625" customWidth="1"/>
    <col min="18" max="18" width="8.88671875" customWidth="1"/>
    <col min="19" max="19" width="1.6640625" customWidth="1"/>
  </cols>
  <sheetData>
    <row r="1" spans="1:22" x14ac:dyDescent="0.3">
      <c r="A1" s="36" t="s">
        <v>0</v>
      </c>
      <c r="B1" s="38" t="s">
        <v>1</v>
      </c>
      <c r="C1" s="38" t="s">
        <v>35</v>
      </c>
      <c r="D1" s="38" t="s">
        <v>36</v>
      </c>
      <c r="E1" s="46" t="s">
        <v>37</v>
      </c>
      <c r="F1" s="38" t="s">
        <v>2</v>
      </c>
      <c r="G1" s="18"/>
      <c r="H1" s="21" t="s">
        <v>38</v>
      </c>
      <c r="I1" s="18"/>
      <c r="J1" s="21" t="s">
        <v>39</v>
      </c>
      <c r="K1" s="18"/>
      <c r="L1" s="40" t="s">
        <v>40</v>
      </c>
      <c r="M1" s="40"/>
      <c r="N1" s="40"/>
      <c r="O1" s="18"/>
      <c r="P1" s="29" t="s">
        <v>41</v>
      </c>
      <c r="Q1" s="18"/>
      <c r="R1" s="31" t="s">
        <v>42</v>
      </c>
      <c r="S1" s="18"/>
      <c r="T1" s="41" t="s">
        <v>43</v>
      </c>
      <c r="U1" s="41"/>
      <c r="V1" s="41"/>
    </row>
    <row r="2" spans="1:22" ht="28.8" x14ac:dyDescent="0.3">
      <c r="A2" s="37"/>
      <c r="B2" s="39"/>
      <c r="C2" s="39"/>
      <c r="D2" s="39"/>
      <c r="E2" s="47"/>
      <c r="F2" s="39"/>
      <c r="G2" s="19"/>
      <c r="H2" s="24" t="s">
        <v>44</v>
      </c>
      <c r="I2" s="19"/>
      <c r="J2" s="24" t="s">
        <v>44</v>
      </c>
      <c r="K2" s="19"/>
      <c r="L2" s="24" t="s">
        <v>6</v>
      </c>
      <c r="M2" s="24" t="s">
        <v>11</v>
      </c>
      <c r="N2" s="24" t="s">
        <v>45</v>
      </c>
      <c r="O2" s="19"/>
      <c r="P2" s="30" t="s">
        <v>44</v>
      </c>
      <c r="Q2" s="19"/>
      <c r="R2" s="30" t="s">
        <v>44</v>
      </c>
      <c r="S2" s="19"/>
      <c r="T2" s="30" t="s">
        <v>6</v>
      </c>
      <c r="U2" s="30" t="s">
        <v>11</v>
      </c>
      <c r="V2" s="30" t="s">
        <v>45</v>
      </c>
    </row>
    <row r="3" spans="1:22" ht="10.199999999999999" customHeight="1" x14ac:dyDescent="0.3">
      <c r="A3" s="4"/>
      <c r="B3" s="22"/>
      <c r="C3" s="22"/>
      <c r="D3" s="22"/>
      <c r="E3" s="23"/>
      <c r="F3" s="22"/>
      <c r="G3" s="19"/>
      <c r="H3" s="24"/>
      <c r="I3" s="19"/>
      <c r="J3" s="24"/>
      <c r="K3" s="19"/>
      <c r="L3" s="24"/>
      <c r="M3" s="24"/>
      <c r="N3" s="24"/>
      <c r="O3" s="19"/>
      <c r="P3" s="5"/>
      <c r="Q3" s="19"/>
      <c r="R3" s="5"/>
      <c r="S3" s="19"/>
      <c r="T3" s="5"/>
      <c r="U3" s="5"/>
      <c r="V3" s="5"/>
    </row>
    <row r="4" spans="1:22" x14ac:dyDescent="0.3">
      <c r="A4" s="6" t="s">
        <v>16</v>
      </c>
      <c r="B4" s="6" t="s">
        <v>17</v>
      </c>
      <c r="C4" s="6" t="s">
        <v>18</v>
      </c>
      <c r="D4" s="6" t="s">
        <v>46</v>
      </c>
      <c r="E4" s="6" t="s">
        <v>47</v>
      </c>
      <c r="F4" s="7" t="s">
        <v>48</v>
      </c>
      <c r="H4" s="6">
        <v>20</v>
      </c>
      <c r="J4" s="6">
        <v>2</v>
      </c>
      <c r="L4" s="12">
        <v>0</v>
      </c>
      <c r="M4" s="12">
        <v>0</v>
      </c>
      <c r="N4" s="6"/>
      <c r="P4" s="8">
        <v>8</v>
      </c>
      <c r="R4" s="8">
        <v>2</v>
      </c>
      <c r="T4" s="12">
        <v>5</v>
      </c>
      <c r="U4" s="12">
        <v>0</v>
      </c>
      <c r="V4" s="8">
        <v>10</v>
      </c>
    </row>
    <row r="5" spans="1:22" x14ac:dyDescent="0.3">
      <c r="A5" s="6" t="s">
        <v>16</v>
      </c>
      <c r="B5" s="6" t="s">
        <v>17</v>
      </c>
      <c r="C5" s="6" t="s">
        <v>18</v>
      </c>
      <c r="D5" s="6" t="s">
        <v>49</v>
      </c>
      <c r="E5" s="6" t="s">
        <v>50</v>
      </c>
      <c r="F5" s="7" t="s">
        <v>51</v>
      </c>
      <c r="H5" s="6">
        <v>10</v>
      </c>
      <c r="J5" s="6">
        <v>2</v>
      </c>
      <c r="L5" s="12">
        <v>4</v>
      </c>
      <c r="M5" s="12">
        <v>0</v>
      </c>
      <c r="N5" s="6"/>
      <c r="P5" s="8">
        <v>3</v>
      </c>
      <c r="R5" s="8">
        <v>2</v>
      </c>
      <c r="T5" s="12">
        <v>0</v>
      </c>
      <c r="U5" s="12">
        <v>0</v>
      </c>
      <c r="V5" s="8">
        <v>10</v>
      </c>
    </row>
    <row r="6" spans="1:22" x14ac:dyDescent="0.3">
      <c r="A6" s="6" t="s">
        <v>16</v>
      </c>
      <c r="B6" s="6" t="s">
        <v>17</v>
      </c>
      <c r="C6" s="6" t="s">
        <v>18</v>
      </c>
      <c r="D6" s="6" t="s">
        <v>19</v>
      </c>
      <c r="E6" s="6" t="s">
        <v>52</v>
      </c>
      <c r="F6" s="7" t="s">
        <v>53</v>
      </c>
      <c r="H6" s="6">
        <v>10</v>
      </c>
      <c r="J6" s="6">
        <v>15</v>
      </c>
      <c r="L6" s="12">
        <v>5</v>
      </c>
      <c r="M6" s="12">
        <v>12</v>
      </c>
      <c r="N6" s="6">
        <v>10</v>
      </c>
      <c r="P6" s="8">
        <v>3</v>
      </c>
      <c r="R6" s="8">
        <v>2</v>
      </c>
      <c r="T6" s="12">
        <v>2</v>
      </c>
      <c r="U6" s="12">
        <v>0</v>
      </c>
      <c r="V6" s="8">
        <v>10</v>
      </c>
    </row>
    <row r="7" spans="1:22" x14ac:dyDescent="0.3">
      <c r="A7" s="6" t="s">
        <v>16</v>
      </c>
      <c r="B7" s="6" t="s">
        <v>17</v>
      </c>
      <c r="C7" s="6" t="s">
        <v>18</v>
      </c>
      <c r="D7" s="6" t="s">
        <v>54</v>
      </c>
      <c r="E7" s="6" t="s">
        <v>55</v>
      </c>
      <c r="F7" s="7" t="s">
        <v>56</v>
      </c>
      <c r="H7" s="6">
        <v>10</v>
      </c>
      <c r="J7" s="6">
        <v>5</v>
      </c>
      <c r="L7" s="12">
        <v>0</v>
      </c>
      <c r="M7" s="12">
        <v>2</v>
      </c>
      <c r="N7" s="6">
        <v>10</v>
      </c>
      <c r="P7" s="8">
        <v>3</v>
      </c>
      <c r="R7" s="8">
        <v>2</v>
      </c>
      <c r="T7" s="12">
        <v>1</v>
      </c>
      <c r="U7" s="12">
        <v>0</v>
      </c>
      <c r="V7" s="8">
        <v>10</v>
      </c>
    </row>
    <row r="8" spans="1:22" x14ac:dyDescent="0.3">
      <c r="A8" s="6" t="s">
        <v>16</v>
      </c>
      <c r="B8" s="6" t="s">
        <v>17</v>
      </c>
      <c r="C8" s="6" t="s">
        <v>18</v>
      </c>
      <c r="D8" s="6" t="s">
        <v>54</v>
      </c>
      <c r="E8" s="6" t="s">
        <v>57</v>
      </c>
      <c r="F8" s="7" t="s">
        <v>58</v>
      </c>
      <c r="H8" s="6">
        <v>0</v>
      </c>
      <c r="J8" s="6">
        <v>9</v>
      </c>
      <c r="L8" s="12">
        <v>0</v>
      </c>
      <c r="M8" s="12">
        <v>1</v>
      </c>
      <c r="N8" s="6">
        <v>10</v>
      </c>
      <c r="P8" s="8">
        <v>2</v>
      </c>
      <c r="R8" s="8">
        <v>2</v>
      </c>
      <c r="T8" s="12">
        <v>0</v>
      </c>
      <c r="U8" s="12">
        <v>0</v>
      </c>
      <c r="V8" s="8">
        <v>10</v>
      </c>
    </row>
    <row r="9" spans="1:22" x14ac:dyDescent="0.3">
      <c r="A9" s="42" t="s">
        <v>17</v>
      </c>
      <c r="B9" s="43"/>
      <c r="C9" s="25"/>
      <c r="D9" s="25"/>
      <c r="E9" s="25"/>
      <c r="F9" s="25"/>
      <c r="H9" s="28">
        <f t="shared" ref="H9" si="0">SUM(H4:H8)</f>
        <v>50</v>
      </c>
      <c r="J9" s="28">
        <f t="shared" ref="J9" si="1">SUM(J4:J8)</f>
        <v>33</v>
      </c>
      <c r="L9" s="28">
        <f t="shared" ref="L9:N9" si="2">SUM(L4:L8)</f>
        <v>9</v>
      </c>
      <c r="M9" s="28">
        <f t="shared" si="2"/>
        <v>15</v>
      </c>
      <c r="N9" s="28">
        <f t="shared" si="2"/>
        <v>30</v>
      </c>
      <c r="P9" s="32">
        <f t="shared" ref="P9" si="3">SUM(P4:P8)</f>
        <v>19</v>
      </c>
      <c r="Q9" s="19"/>
      <c r="R9" s="32">
        <f t="shared" ref="R9" si="4">SUM(R4:R8)</f>
        <v>10</v>
      </c>
      <c r="S9" s="19"/>
      <c r="T9" s="32">
        <f t="shared" ref="T9:U9" si="5">SUM(T4:T8)</f>
        <v>8</v>
      </c>
      <c r="U9" s="32">
        <f t="shared" si="5"/>
        <v>0</v>
      </c>
      <c r="V9" s="32">
        <f>SUM(V4:V8)</f>
        <v>50</v>
      </c>
    </row>
    <row r="10" spans="1:22" x14ac:dyDescent="0.3">
      <c r="A10" s="6" t="s">
        <v>16</v>
      </c>
      <c r="B10" s="6" t="s">
        <v>25</v>
      </c>
      <c r="C10" s="6" t="s">
        <v>26</v>
      </c>
      <c r="D10" s="6" t="s">
        <v>28</v>
      </c>
      <c r="E10" s="6" t="s">
        <v>59</v>
      </c>
      <c r="F10" s="7" t="s">
        <v>60</v>
      </c>
      <c r="H10" s="6">
        <v>8</v>
      </c>
      <c r="J10" s="6">
        <v>1</v>
      </c>
      <c r="L10" s="8">
        <v>1</v>
      </c>
      <c r="M10" s="8">
        <v>0</v>
      </c>
      <c r="N10" s="6">
        <v>10</v>
      </c>
      <c r="P10" s="8">
        <v>2</v>
      </c>
      <c r="R10" s="8">
        <v>1</v>
      </c>
      <c r="T10" s="8">
        <v>0</v>
      </c>
      <c r="U10" s="8">
        <v>0</v>
      </c>
      <c r="V10" s="8">
        <v>10</v>
      </c>
    </row>
    <row r="11" spans="1:22" x14ac:dyDescent="0.3">
      <c r="A11" s="6" t="s">
        <v>16</v>
      </c>
      <c r="B11" s="6" t="s">
        <v>25</v>
      </c>
      <c r="C11" s="6" t="s">
        <v>26</v>
      </c>
      <c r="D11" s="6" t="s">
        <v>27</v>
      </c>
      <c r="E11" s="6" t="s">
        <v>61</v>
      </c>
      <c r="F11" s="7" t="s">
        <v>62</v>
      </c>
      <c r="H11" s="6">
        <v>6</v>
      </c>
      <c r="J11" s="6">
        <v>1</v>
      </c>
      <c r="L11" s="8">
        <v>1</v>
      </c>
      <c r="M11" s="8">
        <v>0</v>
      </c>
      <c r="N11" s="6">
        <v>10</v>
      </c>
      <c r="P11" s="8">
        <v>2</v>
      </c>
      <c r="R11" s="8">
        <v>2</v>
      </c>
      <c r="T11" s="8">
        <v>2</v>
      </c>
      <c r="U11" s="8">
        <v>2</v>
      </c>
      <c r="V11" s="8">
        <v>20</v>
      </c>
    </row>
    <row r="12" spans="1:22" x14ac:dyDescent="0.3">
      <c r="A12" s="3" t="s">
        <v>16</v>
      </c>
      <c r="B12" s="3" t="s">
        <v>25</v>
      </c>
      <c r="C12" s="3" t="s">
        <v>26</v>
      </c>
      <c r="D12" s="3" t="s">
        <v>63</v>
      </c>
      <c r="E12" s="3" t="s">
        <v>64</v>
      </c>
      <c r="F12" s="9" t="s">
        <v>65</v>
      </c>
      <c r="G12" s="20"/>
      <c r="H12" s="3">
        <v>0</v>
      </c>
      <c r="I12" s="20"/>
      <c r="J12" s="3">
        <v>0</v>
      </c>
      <c r="K12" s="20"/>
      <c r="L12" s="10">
        <v>0</v>
      </c>
      <c r="M12" s="10">
        <v>0</v>
      </c>
      <c r="N12" s="3">
        <v>0</v>
      </c>
      <c r="O12" s="20"/>
      <c r="P12" s="10">
        <v>0</v>
      </c>
      <c r="Q12" s="20"/>
      <c r="R12" s="10">
        <v>0</v>
      </c>
      <c r="S12" s="20"/>
      <c r="T12" s="8">
        <v>0</v>
      </c>
      <c r="U12" s="8">
        <v>0</v>
      </c>
      <c r="V12" s="8">
        <v>0</v>
      </c>
    </row>
    <row r="13" spans="1:22" x14ac:dyDescent="0.3">
      <c r="A13" s="6" t="s">
        <v>16</v>
      </c>
      <c r="B13" s="6" t="s">
        <v>25</v>
      </c>
      <c r="C13" s="6" t="s">
        <v>26</v>
      </c>
      <c r="D13" s="6" t="s">
        <v>66</v>
      </c>
      <c r="E13" s="6"/>
      <c r="F13" s="7" t="s">
        <v>67</v>
      </c>
      <c r="H13" s="6">
        <v>4</v>
      </c>
      <c r="J13" s="6">
        <v>0</v>
      </c>
      <c r="L13" s="8"/>
      <c r="M13" s="8"/>
      <c r="N13" s="6">
        <v>10</v>
      </c>
      <c r="P13" s="8">
        <v>2</v>
      </c>
      <c r="R13" s="8">
        <v>1</v>
      </c>
      <c r="T13" s="8">
        <v>0</v>
      </c>
      <c r="U13" s="8">
        <v>0</v>
      </c>
      <c r="V13" s="8">
        <v>10</v>
      </c>
    </row>
    <row r="14" spans="1:22" x14ac:dyDescent="0.3">
      <c r="A14" s="6" t="s">
        <v>16</v>
      </c>
      <c r="B14" s="6" t="s">
        <v>25</v>
      </c>
      <c r="C14" s="6" t="s">
        <v>26</v>
      </c>
      <c r="D14" s="6" t="s">
        <v>68</v>
      </c>
      <c r="E14" s="6"/>
      <c r="F14" s="33" t="s">
        <v>131</v>
      </c>
      <c r="H14" s="6"/>
      <c r="J14" s="6"/>
      <c r="L14" s="8"/>
      <c r="M14" s="8"/>
      <c r="N14" s="6"/>
      <c r="P14" s="8"/>
      <c r="R14" s="8"/>
      <c r="T14" s="8"/>
      <c r="U14" s="8"/>
      <c r="V14" s="8">
        <v>10</v>
      </c>
    </row>
    <row r="15" spans="1:22" x14ac:dyDescent="0.3">
      <c r="A15" s="6" t="s">
        <v>16</v>
      </c>
      <c r="B15" s="6" t="s">
        <v>25</v>
      </c>
      <c r="C15" s="6" t="s">
        <v>26</v>
      </c>
      <c r="D15" s="6" t="s">
        <v>68</v>
      </c>
      <c r="E15" s="6"/>
      <c r="F15" s="7" t="s">
        <v>69</v>
      </c>
      <c r="H15" s="6">
        <v>4</v>
      </c>
      <c r="J15" s="6">
        <v>1</v>
      </c>
      <c r="L15" s="8"/>
      <c r="M15" s="8"/>
      <c r="N15" s="6">
        <v>10</v>
      </c>
      <c r="P15" s="8">
        <v>2</v>
      </c>
      <c r="R15" s="8">
        <v>1</v>
      </c>
      <c r="T15" s="8">
        <v>0</v>
      </c>
      <c r="U15" s="8">
        <v>0</v>
      </c>
      <c r="V15" s="8">
        <v>10</v>
      </c>
    </row>
    <row r="16" spans="1:22" x14ac:dyDescent="0.3">
      <c r="A16" s="6" t="s">
        <v>16</v>
      </c>
      <c r="B16" s="6" t="s">
        <v>25</v>
      </c>
      <c r="C16" s="6" t="s">
        <v>26</v>
      </c>
      <c r="D16" s="6" t="s">
        <v>27</v>
      </c>
      <c r="E16" s="6" t="s">
        <v>70</v>
      </c>
      <c r="F16" s="7" t="s">
        <v>71</v>
      </c>
      <c r="H16" s="6">
        <v>8</v>
      </c>
      <c r="J16" s="6">
        <v>2</v>
      </c>
      <c r="L16" s="8">
        <v>4</v>
      </c>
      <c r="M16" s="12">
        <v>0</v>
      </c>
      <c r="N16" s="6">
        <v>10</v>
      </c>
      <c r="P16" s="8">
        <v>3</v>
      </c>
      <c r="R16" s="8">
        <v>1</v>
      </c>
      <c r="T16" s="8">
        <v>3</v>
      </c>
      <c r="U16" s="8">
        <v>0</v>
      </c>
      <c r="V16" s="8">
        <v>20</v>
      </c>
    </row>
    <row r="17" spans="1:22" x14ac:dyDescent="0.3">
      <c r="A17" s="42" t="s">
        <v>25</v>
      </c>
      <c r="B17" s="43"/>
      <c r="C17" s="25"/>
      <c r="D17" s="25"/>
      <c r="E17" s="25"/>
      <c r="F17" s="25"/>
      <c r="H17" s="28">
        <f>SUM(H10:H16)</f>
        <v>30</v>
      </c>
      <c r="J17" s="28">
        <f t="shared" ref="J17" si="6">SUM(J10:J16)</f>
        <v>5</v>
      </c>
      <c r="L17" s="28">
        <f t="shared" ref="L17:N17" si="7">SUM(L10:L16)</f>
        <v>6</v>
      </c>
      <c r="M17" s="28">
        <f t="shared" si="7"/>
        <v>0</v>
      </c>
      <c r="N17" s="28">
        <f t="shared" si="7"/>
        <v>50</v>
      </c>
      <c r="P17" s="32">
        <f t="shared" ref="P17" si="8">SUM(P10:P16)</f>
        <v>11</v>
      </c>
      <c r="Q17" s="19"/>
      <c r="R17" s="32">
        <f t="shared" ref="R17" si="9">SUM(R10:R16)</f>
        <v>6</v>
      </c>
      <c r="S17" s="19"/>
      <c r="T17" s="32">
        <f t="shared" ref="T17:V17" si="10">SUM(T10:T16)</f>
        <v>5</v>
      </c>
      <c r="U17" s="32">
        <f t="shared" si="10"/>
        <v>2</v>
      </c>
      <c r="V17" s="32">
        <f t="shared" si="10"/>
        <v>80</v>
      </c>
    </row>
    <row r="18" spans="1:22" x14ac:dyDescent="0.3">
      <c r="A18" s="2" t="s">
        <v>16</v>
      </c>
      <c r="B18" s="2" t="s">
        <v>72</v>
      </c>
      <c r="C18" s="6" t="s">
        <v>29</v>
      </c>
      <c r="D18" s="6" t="s">
        <v>73</v>
      </c>
      <c r="E18" s="6" t="s">
        <v>74</v>
      </c>
      <c r="F18" s="7" t="s">
        <v>75</v>
      </c>
      <c r="H18" s="6">
        <v>8</v>
      </c>
      <c r="J18" s="8">
        <v>1</v>
      </c>
      <c r="L18" s="8">
        <v>0</v>
      </c>
      <c r="M18" s="8">
        <v>0</v>
      </c>
      <c r="N18" s="8">
        <v>10</v>
      </c>
      <c r="P18" s="8">
        <v>2</v>
      </c>
      <c r="R18" s="8">
        <v>1</v>
      </c>
      <c r="T18" s="8">
        <v>2</v>
      </c>
      <c r="U18" s="8">
        <v>0</v>
      </c>
      <c r="V18" s="8">
        <v>10</v>
      </c>
    </row>
    <row r="19" spans="1:22" x14ac:dyDescent="0.3">
      <c r="A19" s="2" t="s">
        <v>16</v>
      </c>
      <c r="B19" s="2" t="s">
        <v>72</v>
      </c>
      <c r="C19" s="6" t="s">
        <v>29</v>
      </c>
      <c r="D19" s="6" t="s">
        <v>76</v>
      </c>
      <c r="E19" s="6" t="s">
        <v>77</v>
      </c>
      <c r="F19" s="7" t="s">
        <v>78</v>
      </c>
      <c r="H19" s="6">
        <v>5</v>
      </c>
      <c r="J19" s="8">
        <v>1</v>
      </c>
      <c r="L19" s="8">
        <v>2</v>
      </c>
      <c r="M19" s="8">
        <v>0</v>
      </c>
      <c r="N19" s="8">
        <v>10</v>
      </c>
      <c r="P19" s="8">
        <v>2</v>
      </c>
      <c r="R19" s="8">
        <v>1</v>
      </c>
      <c r="T19" s="8">
        <v>0</v>
      </c>
      <c r="U19" s="8">
        <v>0</v>
      </c>
      <c r="V19" s="8">
        <v>10</v>
      </c>
    </row>
    <row r="20" spans="1:22" x14ac:dyDescent="0.3">
      <c r="A20" s="2" t="s">
        <v>16</v>
      </c>
      <c r="B20" s="2" t="s">
        <v>72</v>
      </c>
      <c r="C20" s="6" t="s">
        <v>29</v>
      </c>
      <c r="D20" s="6" t="s">
        <v>30</v>
      </c>
      <c r="E20" s="6" t="s">
        <v>79</v>
      </c>
      <c r="F20" s="7" t="s">
        <v>80</v>
      </c>
      <c r="H20" s="6">
        <v>8</v>
      </c>
      <c r="J20" s="8">
        <v>1</v>
      </c>
      <c r="L20" s="8">
        <v>0</v>
      </c>
      <c r="M20" s="8">
        <v>3</v>
      </c>
      <c r="N20" s="8">
        <v>10</v>
      </c>
      <c r="P20" s="8">
        <v>3</v>
      </c>
      <c r="R20" s="8">
        <v>1</v>
      </c>
      <c r="T20" s="8">
        <v>3</v>
      </c>
      <c r="U20" s="8">
        <v>0</v>
      </c>
      <c r="V20" s="8">
        <v>10</v>
      </c>
    </row>
    <row r="21" spans="1:22" x14ac:dyDescent="0.3">
      <c r="A21" s="2" t="s">
        <v>16</v>
      </c>
      <c r="B21" s="2" t="s">
        <v>72</v>
      </c>
      <c r="C21" s="6" t="s">
        <v>29</v>
      </c>
      <c r="D21" s="6" t="s">
        <v>76</v>
      </c>
      <c r="E21" s="6" t="s">
        <v>81</v>
      </c>
      <c r="F21" s="7" t="s">
        <v>82</v>
      </c>
      <c r="H21" s="6">
        <v>4</v>
      </c>
      <c r="J21" s="8">
        <v>0</v>
      </c>
      <c r="L21" s="8">
        <v>1</v>
      </c>
      <c r="M21" s="8">
        <v>0</v>
      </c>
      <c r="N21" s="8">
        <v>10</v>
      </c>
      <c r="P21" s="8">
        <v>2</v>
      </c>
      <c r="R21" s="8">
        <v>1</v>
      </c>
      <c r="T21" s="8">
        <v>0</v>
      </c>
      <c r="U21" s="8">
        <v>0</v>
      </c>
      <c r="V21" s="8">
        <v>10</v>
      </c>
    </row>
    <row r="22" spans="1:22" x14ac:dyDescent="0.3">
      <c r="A22" s="2" t="s">
        <v>16</v>
      </c>
      <c r="B22" s="2" t="s">
        <v>72</v>
      </c>
      <c r="C22" s="6" t="s">
        <v>29</v>
      </c>
      <c r="D22" s="6" t="s">
        <v>83</v>
      </c>
      <c r="E22" s="6" t="s">
        <v>84</v>
      </c>
      <c r="F22" s="7" t="s">
        <v>85</v>
      </c>
      <c r="H22" s="6">
        <v>8</v>
      </c>
      <c r="J22" s="8">
        <v>0</v>
      </c>
      <c r="L22" s="8">
        <v>0</v>
      </c>
      <c r="M22" s="8">
        <v>0</v>
      </c>
      <c r="N22" s="8">
        <v>10</v>
      </c>
      <c r="P22" s="8">
        <v>2</v>
      </c>
      <c r="R22" s="8">
        <v>1</v>
      </c>
      <c r="T22" s="8">
        <v>0</v>
      </c>
      <c r="U22" s="8">
        <v>0</v>
      </c>
      <c r="V22" s="8">
        <v>10</v>
      </c>
    </row>
    <row r="23" spans="1:22" x14ac:dyDescent="0.3">
      <c r="A23" s="2" t="s">
        <v>16</v>
      </c>
      <c r="B23" s="2" t="s">
        <v>72</v>
      </c>
      <c r="C23" s="6" t="s">
        <v>29</v>
      </c>
      <c r="D23" s="6" t="s">
        <v>31</v>
      </c>
      <c r="E23" s="6" t="s">
        <v>86</v>
      </c>
      <c r="F23" s="7" t="s">
        <v>87</v>
      </c>
      <c r="H23" s="6">
        <v>12</v>
      </c>
      <c r="J23" s="8">
        <v>1</v>
      </c>
      <c r="L23" s="8">
        <v>12</v>
      </c>
      <c r="M23" s="8">
        <v>0</v>
      </c>
      <c r="N23" s="8">
        <v>10</v>
      </c>
      <c r="P23" s="8">
        <v>2</v>
      </c>
      <c r="R23" s="8">
        <v>20</v>
      </c>
      <c r="T23" s="8">
        <v>1</v>
      </c>
      <c r="U23" s="8">
        <v>20</v>
      </c>
      <c r="V23" s="8">
        <v>5</v>
      </c>
    </row>
    <row r="24" spans="1:22" x14ac:dyDescent="0.3">
      <c r="A24" s="1" t="s">
        <v>16</v>
      </c>
      <c r="B24" s="1" t="s">
        <v>72</v>
      </c>
      <c r="C24" s="3" t="s">
        <v>29</v>
      </c>
      <c r="D24" s="3" t="s">
        <v>73</v>
      </c>
      <c r="E24" s="3" t="s">
        <v>88</v>
      </c>
      <c r="F24" s="9" t="s">
        <v>89</v>
      </c>
      <c r="G24" s="20"/>
      <c r="H24" s="3">
        <v>0</v>
      </c>
      <c r="I24" s="20"/>
      <c r="J24" s="10">
        <v>0</v>
      </c>
      <c r="K24" s="20"/>
      <c r="L24" s="10">
        <v>0</v>
      </c>
      <c r="M24" s="10">
        <v>0</v>
      </c>
      <c r="N24" s="10"/>
      <c r="O24" s="20"/>
      <c r="P24" s="10">
        <v>0</v>
      </c>
      <c r="Q24" s="20"/>
      <c r="R24" s="10">
        <v>0</v>
      </c>
      <c r="S24" s="20"/>
      <c r="T24" s="8">
        <v>0</v>
      </c>
      <c r="U24" s="8">
        <v>0</v>
      </c>
      <c r="V24" s="10"/>
    </row>
    <row r="25" spans="1:22" x14ac:dyDescent="0.3">
      <c r="A25" s="1" t="s">
        <v>16</v>
      </c>
      <c r="B25" s="1" t="s">
        <v>72</v>
      </c>
      <c r="C25" s="3" t="s">
        <v>29</v>
      </c>
      <c r="D25" s="3" t="s">
        <v>76</v>
      </c>
      <c r="E25" s="3" t="s">
        <v>90</v>
      </c>
      <c r="F25" s="9" t="s">
        <v>91</v>
      </c>
      <c r="G25" s="20"/>
      <c r="H25" s="3">
        <v>0</v>
      </c>
      <c r="I25" s="20"/>
      <c r="J25" s="10">
        <v>0</v>
      </c>
      <c r="K25" s="20"/>
      <c r="L25" s="10">
        <v>0</v>
      </c>
      <c r="M25" s="10">
        <v>0</v>
      </c>
      <c r="N25" s="10"/>
      <c r="O25" s="20"/>
      <c r="P25" s="10">
        <v>0</v>
      </c>
      <c r="Q25" s="20"/>
      <c r="R25" s="10">
        <v>0</v>
      </c>
      <c r="S25" s="20"/>
      <c r="T25" s="8">
        <v>0</v>
      </c>
      <c r="U25" s="8">
        <v>0</v>
      </c>
      <c r="V25" s="10"/>
    </row>
    <row r="26" spans="1:22" x14ac:dyDescent="0.3">
      <c r="A26" s="2" t="s">
        <v>16</v>
      </c>
      <c r="B26" s="2" t="s">
        <v>72</v>
      </c>
      <c r="C26" s="6" t="s">
        <v>29</v>
      </c>
      <c r="D26" s="6" t="s">
        <v>31</v>
      </c>
      <c r="E26" s="6" t="s">
        <v>92</v>
      </c>
      <c r="F26" s="7" t="s">
        <v>93</v>
      </c>
      <c r="H26" s="6">
        <v>8</v>
      </c>
      <c r="J26" s="8">
        <v>0</v>
      </c>
      <c r="L26" s="8">
        <v>0</v>
      </c>
      <c r="M26" s="8">
        <v>0</v>
      </c>
      <c r="N26" s="8">
        <v>10</v>
      </c>
      <c r="P26" s="8">
        <v>2</v>
      </c>
      <c r="R26" s="8">
        <v>9</v>
      </c>
      <c r="T26" s="8">
        <v>0</v>
      </c>
      <c r="U26" s="8">
        <v>9</v>
      </c>
      <c r="V26" s="8">
        <v>10</v>
      </c>
    </row>
    <row r="27" spans="1:22" x14ac:dyDescent="0.3">
      <c r="A27" s="44" t="s">
        <v>72</v>
      </c>
      <c r="B27" s="45"/>
      <c r="C27" s="25"/>
      <c r="D27" s="25"/>
      <c r="E27" s="25"/>
      <c r="F27" s="25"/>
      <c r="H27" s="28">
        <f t="shared" ref="H27" si="11">SUM(H18:H26)</f>
        <v>53</v>
      </c>
      <c r="J27" s="28">
        <f t="shared" ref="J27" si="12">SUM(J18:J26)</f>
        <v>4</v>
      </c>
      <c r="L27" s="28">
        <f t="shared" ref="L27:N27" si="13">SUM(L18:L26)</f>
        <v>15</v>
      </c>
      <c r="M27" s="28">
        <f t="shared" si="13"/>
        <v>3</v>
      </c>
      <c r="N27" s="28">
        <f t="shared" si="13"/>
        <v>70</v>
      </c>
      <c r="P27" s="32">
        <f t="shared" ref="P27" si="14">SUM(P18:P26)</f>
        <v>15</v>
      </c>
      <c r="Q27" s="19"/>
      <c r="R27" s="32">
        <f t="shared" ref="R27" si="15">SUM(R18:R26)</f>
        <v>34</v>
      </c>
      <c r="S27" s="19"/>
      <c r="T27" s="32">
        <f t="shared" ref="T27:V27" si="16">SUM(T18:T26)</f>
        <v>6</v>
      </c>
      <c r="U27" s="32">
        <f t="shared" si="16"/>
        <v>29</v>
      </c>
      <c r="V27" s="32">
        <f t="shared" si="16"/>
        <v>65</v>
      </c>
    </row>
    <row r="28" spans="1:22" x14ac:dyDescent="0.3">
      <c r="A28" s="11" t="s">
        <v>16</v>
      </c>
      <c r="B28" s="7" t="s">
        <v>94</v>
      </c>
      <c r="C28" s="7" t="s">
        <v>20</v>
      </c>
      <c r="D28" s="7" t="s">
        <v>23</v>
      </c>
      <c r="E28" s="6" t="s">
        <v>95</v>
      </c>
      <c r="F28" s="7" t="s">
        <v>96</v>
      </c>
      <c r="H28" s="7">
        <v>10</v>
      </c>
      <c r="J28" s="12">
        <v>10</v>
      </c>
      <c r="L28" s="12">
        <v>7</v>
      </c>
      <c r="M28" s="12">
        <v>3</v>
      </c>
      <c r="N28" s="12"/>
      <c r="P28" s="8">
        <v>2</v>
      </c>
      <c r="R28" s="12">
        <v>9</v>
      </c>
      <c r="T28" s="8">
        <v>0</v>
      </c>
      <c r="U28" s="8">
        <v>7</v>
      </c>
      <c r="V28" s="13">
        <v>10</v>
      </c>
    </row>
    <row r="29" spans="1:22" x14ac:dyDescent="0.3">
      <c r="A29" s="2" t="s">
        <v>16</v>
      </c>
      <c r="B29" s="6" t="s">
        <v>94</v>
      </c>
      <c r="C29" s="6" t="s">
        <v>20</v>
      </c>
      <c r="D29" s="6" t="s">
        <v>24</v>
      </c>
      <c r="E29" s="6" t="s">
        <v>97</v>
      </c>
      <c r="F29" s="7" t="s">
        <v>98</v>
      </c>
      <c r="H29" s="6">
        <v>10</v>
      </c>
      <c r="J29" s="8">
        <v>8</v>
      </c>
      <c r="L29" s="12">
        <v>2</v>
      </c>
      <c r="M29" s="12">
        <v>1</v>
      </c>
      <c r="N29" s="12">
        <v>10</v>
      </c>
      <c r="P29" s="8">
        <v>2</v>
      </c>
      <c r="R29" s="8">
        <v>1</v>
      </c>
      <c r="T29" s="8">
        <v>0</v>
      </c>
      <c r="U29" s="8">
        <v>0</v>
      </c>
      <c r="V29" s="13">
        <v>10</v>
      </c>
    </row>
    <row r="30" spans="1:22" x14ac:dyDescent="0.3">
      <c r="A30" s="2" t="s">
        <v>16</v>
      </c>
      <c r="B30" s="6" t="s">
        <v>94</v>
      </c>
      <c r="C30" s="6" t="s">
        <v>20</v>
      </c>
      <c r="D30" s="6" t="s">
        <v>21</v>
      </c>
      <c r="E30" s="6" t="s">
        <v>99</v>
      </c>
      <c r="F30" s="7" t="s">
        <v>100</v>
      </c>
      <c r="H30" s="6">
        <v>23</v>
      </c>
      <c r="J30" s="8">
        <v>0</v>
      </c>
      <c r="L30" s="12">
        <v>1</v>
      </c>
      <c r="M30" s="12">
        <v>0</v>
      </c>
      <c r="N30" s="12">
        <v>10</v>
      </c>
      <c r="P30" s="8">
        <v>4</v>
      </c>
      <c r="R30" s="8">
        <v>2</v>
      </c>
      <c r="T30" s="8">
        <v>4</v>
      </c>
      <c r="U30" s="8">
        <v>0</v>
      </c>
      <c r="V30" s="13">
        <v>10</v>
      </c>
    </row>
    <row r="31" spans="1:22" x14ac:dyDescent="0.3">
      <c r="A31" s="2" t="s">
        <v>16</v>
      </c>
      <c r="B31" s="6" t="s">
        <v>94</v>
      </c>
      <c r="C31" s="6" t="s">
        <v>20</v>
      </c>
      <c r="D31" s="6" t="s">
        <v>22</v>
      </c>
      <c r="E31" s="6" t="s">
        <v>101</v>
      </c>
      <c r="F31" s="7" t="s">
        <v>102</v>
      </c>
      <c r="H31" s="6">
        <v>18</v>
      </c>
      <c r="J31" s="8">
        <v>2</v>
      </c>
      <c r="L31" s="12">
        <v>0</v>
      </c>
      <c r="M31" s="12">
        <v>0</v>
      </c>
      <c r="N31" s="12"/>
      <c r="P31" s="8">
        <v>2</v>
      </c>
      <c r="R31" s="8">
        <v>2</v>
      </c>
      <c r="T31" s="8">
        <v>0</v>
      </c>
      <c r="U31" s="8">
        <v>0</v>
      </c>
      <c r="V31" s="13">
        <v>10</v>
      </c>
    </row>
    <row r="32" spans="1:22" x14ac:dyDescent="0.3">
      <c r="A32" s="2" t="s">
        <v>16</v>
      </c>
      <c r="B32" s="6" t="s">
        <v>94</v>
      </c>
      <c r="C32" s="6" t="s">
        <v>20</v>
      </c>
      <c r="D32" s="6" t="s">
        <v>22</v>
      </c>
      <c r="E32" s="6" t="s">
        <v>103</v>
      </c>
      <c r="F32" s="7" t="s">
        <v>104</v>
      </c>
      <c r="H32" s="6">
        <v>4</v>
      </c>
      <c r="J32" s="8">
        <v>0</v>
      </c>
      <c r="L32" s="12">
        <v>0</v>
      </c>
      <c r="M32" s="12">
        <v>0</v>
      </c>
      <c r="N32" s="12"/>
      <c r="P32" s="8">
        <v>2</v>
      </c>
      <c r="R32" s="8">
        <v>1</v>
      </c>
      <c r="T32" s="8">
        <v>1</v>
      </c>
      <c r="U32" s="8">
        <v>0</v>
      </c>
      <c r="V32" s="13">
        <v>10</v>
      </c>
    </row>
    <row r="33" spans="1:22" x14ac:dyDescent="0.3">
      <c r="A33" s="34" t="s">
        <v>94</v>
      </c>
      <c r="B33" s="35"/>
      <c r="C33" s="26"/>
      <c r="D33" s="25"/>
      <c r="E33" s="25"/>
      <c r="F33" s="25"/>
      <c r="H33" s="28">
        <f t="shared" ref="H33" si="17">SUM(H28:H32)</f>
        <v>65</v>
      </c>
      <c r="J33" s="28">
        <f t="shared" ref="J33" si="18">SUM(J28:J32)</f>
        <v>20</v>
      </c>
      <c r="L33" s="28">
        <f t="shared" ref="L33:N33" si="19">SUM(L28:L32)</f>
        <v>10</v>
      </c>
      <c r="M33" s="28">
        <f t="shared" si="19"/>
        <v>4</v>
      </c>
      <c r="N33" s="28">
        <f t="shared" si="19"/>
        <v>20</v>
      </c>
      <c r="P33" s="32">
        <f t="shared" ref="P33" si="20">SUM(P28:P32)</f>
        <v>12</v>
      </c>
      <c r="Q33" s="19"/>
      <c r="R33" s="32">
        <f t="shared" ref="R33" si="21">SUM(R28:R32)</f>
        <v>15</v>
      </c>
      <c r="S33" s="19"/>
      <c r="T33" s="32">
        <f t="shared" ref="T33:V33" si="22">SUM(T28:T32)</f>
        <v>5</v>
      </c>
      <c r="U33" s="32">
        <f t="shared" si="22"/>
        <v>7</v>
      </c>
      <c r="V33" s="32">
        <f t="shared" si="22"/>
        <v>50</v>
      </c>
    </row>
    <row r="34" spans="1:22" x14ac:dyDescent="0.3">
      <c r="A34" s="2" t="s">
        <v>16</v>
      </c>
      <c r="B34" s="2" t="s">
        <v>32</v>
      </c>
      <c r="C34" s="2" t="s">
        <v>33</v>
      </c>
      <c r="D34" s="6" t="s">
        <v>105</v>
      </c>
      <c r="E34" s="6" t="s">
        <v>106</v>
      </c>
      <c r="F34" s="7" t="s">
        <v>107</v>
      </c>
      <c r="H34" s="6">
        <v>30</v>
      </c>
      <c r="J34" s="6">
        <v>5</v>
      </c>
      <c r="L34" s="8">
        <v>15</v>
      </c>
      <c r="M34" s="8">
        <v>0</v>
      </c>
      <c r="N34" s="6">
        <v>10</v>
      </c>
      <c r="P34" s="8">
        <v>4</v>
      </c>
      <c r="R34" s="8">
        <v>3</v>
      </c>
      <c r="T34" s="8">
        <v>1</v>
      </c>
      <c r="U34" s="8">
        <v>0</v>
      </c>
      <c r="V34" s="8">
        <v>15</v>
      </c>
    </row>
    <row r="35" spans="1:22" x14ac:dyDescent="0.3">
      <c r="A35" s="2" t="s">
        <v>16</v>
      </c>
      <c r="B35" s="2" t="s">
        <v>32</v>
      </c>
      <c r="C35" s="2" t="s">
        <v>33</v>
      </c>
      <c r="D35" s="6" t="s">
        <v>108</v>
      </c>
      <c r="E35" s="6"/>
      <c r="F35" s="7" t="s">
        <v>109</v>
      </c>
      <c r="H35" s="6">
        <v>4</v>
      </c>
      <c r="J35" s="6">
        <v>0</v>
      </c>
      <c r="L35" s="8"/>
      <c r="M35" s="8"/>
      <c r="N35" s="6">
        <v>5</v>
      </c>
      <c r="P35" s="8">
        <v>2</v>
      </c>
      <c r="R35" s="8">
        <v>1</v>
      </c>
      <c r="T35" s="8">
        <v>0</v>
      </c>
      <c r="U35" s="8">
        <v>0</v>
      </c>
      <c r="V35" s="8">
        <v>5</v>
      </c>
    </row>
    <row r="36" spans="1:22" x14ac:dyDescent="0.3">
      <c r="A36" s="2" t="s">
        <v>16</v>
      </c>
      <c r="B36" s="2" t="s">
        <v>34</v>
      </c>
      <c r="C36" s="14" t="s">
        <v>33</v>
      </c>
      <c r="D36" s="6" t="s">
        <v>33</v>
      </c>
      <c r="E36" s="6"/>
      <c r="F36" s="7" t="s">
        <v>110</v>
      </c>
      <c r="H36" s="6">
        <v>10</v>
      </c>
      <c r="J36" s="6">
        <v>3</v>
      </c>
      <c r="L36" s="8">
        <v>0</v>
      </c>
      <c r="M36" s="8">
        <v>0</v>
      </c>
      <c r="N36" s="6">
        <v>10</v>
      </c>
      <c r="P36" s="8">
        <v>2</v>
      </c>
      <c r="R36" s="8">
        <v>1</v>
      </c>
      <c r="T36" s="8">
        <v>0</v>
      </c>
      <c r="U36" s="8">
        <v>0</v>
      </c>
      <c r="V36" s="8">
        <v>10</v>
      </c>
    </row>
    <row r="37" spans="1:22" x14ac:dyDescent="0.3">
      <c r="A37" s="50" t="s">
        <v>111</v>
      </c>
      <c r="B37" s="51"/>
      <c r="C37" s="27"/>
      <c r="D37" s="25"/>
      <c r="E37" s="25"/>
      <c r="F37" s="25"/>
      <c r="H37" s="28">
        <f t="shared" ref="H37" si="23">SUM(H34:H36)</f>
        <v>44</v>
      </c>
      <c r="J37" s="28">
        <f t="shared" ref="J37" si="24">SUM(J34:J36)</f>
        <v>8</v>
      </c>
      <c r="L37" s="28">
        <f t="shared" ref="L37:N37" si="25">SUM(L34:L36)</f>
        <v>15</v>
      </c>
      <c r="M37" s="28">
        <f t="shared" si="25"/>
        <v>0</v>
      </c>
      <c r="N37" s="28">
        <f t="shared" si="25"/>
        <v>25</v>
      </c>
      <c r="P37" s="32">
        <f t="shared" ref="P37" si="26">SUM(P34:P36)</f>
        <v>8</v>
      </c>
      <c r="Q37" s="19"/>
      <c r="R37" s="32">
        <f t="shared" ref="R37" si="27">SUM(R34:R36)</f>
        <v>5</v>
      </c>
      <c r="S37" s="19"/>
      <c r="T37" s="32">
        <f t="shared" ref="T37:V37" si="28">SUM(T34:T36)</f>
        <v>1</v>
      </c>
      <c r="U37" s="32">
        <f t="shared" si="28"/>
        <v>0</v>
      </c>
      <c r="V37" s="32">
        <f t="shared" si="28"/>
        <v>30</v>
      </c>
    </row>
    <row r="38" spans="1:22" x14ac:dyDescent="0.3">
      <c r="A38" s="52" t="s">
        <v>112</v>
      </c>
      <c r="B38" s="53"/>
      <c r="C38" s="15"/>
      <c r="D38" s="16"/>
      <c r="E38" s="16"/>
      <c r="F38" s="16"/>
      <c r="G38" s="19"/>
      <c r="H38" s="17">
        <f t="shared" ref="H38" si="29">SUM(H9,H17,H27,H33,H37)</f>
        <v>242</v>
      </c>
      <c r="I38" s="19"/>
      <c r="J38" s="17">
        <f>SUM(J9,J17,J27,J33,J37)</f>
        <v>70</v>
      </c>
      <c r="K38" s="19"/>
      <c r="L38" s="17">
        <f t="shared" ref="L38:N38" si="30">SUM(L9,L17,L27,L33,L37)</f>
        <v>55</v>
      </c>
      <c r="M38" s="17">
        <f t="shared" si="30"/>
        <v>22</v>
      </c>
      <c r="N38" s="17">
        <f t="shared" si="30"/>
        <v>195</v>
      </c>
      <c r="O38" s="19"/>
      <c r="P38" s="17">
        <f t="shared" ref="P38:R38" si="31">SUM(P9,P17,P27,P33,P37)</f>
        <v>65</v>
      </c>
      <c r="Q38" s="19"/>
      <c r="R38" s="17">
        <f t="shared" si="31"/>
        <v>70</v>
      </c>
      <c r="S38" s="19"/>
      <c r="T38" s="17">
        <f t="shared" ref="T38:V38" si="32">SUM(T9,T17,T27,T33,T37)</f>
        <v>25</v>
      </c>
      <c r="U38" s="17">
        <f t="shared" si="32"/>
        <v>38</v>
      </c>
      <c r="V38" s="17">
        <f t="shared" si="32"/>
        <v>275</v>
      </c>
    </row>
    <row r="39" spans="1:22" x14ac:dyDescent="0.3">
      <c r="A39" s="11" t="s">
        <v>3</v>
      </c>
      <c r="B39" s="11" t="s">
        <v>8</v>
      </c>
      <c r="C39" s="7" t="s">
        <v>9</v>
      </c>
      <c r="D39" s="7" t="s">
        <v>10</v>
      </c>
      <c r="E39" s="6" t="s">
        <v>113</v>
      </c>
      <c r="F39" s="7" t="s">
        <v>114</v>
      </c>
      <c r="H39" s="7">
        <v>21</v>
      </c>
      <c r="J39" s="7">
        <v>7</v>
      </c>
      <c r="L39" s="12">
        <v>11</v>
      </c>
      <c r="M39" s="12">
        <v>5</v>
      </c>
      <c r="N39" s="6">
        <v>10</v>
      </c>
      <c r="P39" s="12">
        <v>12</v>
      </c>
      <c r="R39" s="12">
        <v>2</v>
      </c>
      <c r="T39" s="8">
        <v>4</v>
      </c>
      <c r="U39" s="8">
        <v>0</v>
      </c>
      <c r="V39" s="13">
        <v>10</v>
      </c>
    </row>
    <row r="40" spans="1:22" x14ac:dyDescent="0.3">
      <c r="A40" s="2" t="s">
        <v>3</v>
      </c>
      <c r="B40" s="2" t="s">
        <v>8</v>
      </c>
      <c r="C40" s="6" t="s">
        <v>9</v>
      </c>
      <c r="D40" s="6" t="s">
        <v>10</v>
      </c>
      <c r="E40" s="6" t="s">
        <v>115</v>
      </c>
      <c r="F40" s="7" t="s">
        <v>116</v>
      </c>
      <c r="H40" s="6">
        <v>10</v>
      </c>
      <c r="J40" s="6">
        <v>2</v>
      </c>
      <c r="L40" s="8">
        <v>4</v>
      </c>
      <c r="M40" s="8">
        <v>2</v>
      </c>
      <c r="N40" s="6">
        <v>10</v>
      </c>
      <c r="P40" s="8">
        <v>2</v>
      </c>
      <c r="R40" s="8">
        <v>1</v>
      </c>
      <c r="T40" s="8">
        <v>1</v>
      </c>
      <c r="U40" s="8">
        <v>0</v>
      </c>
      <c r="V40" s="13">
        <v>10</v>
      </c>
    </row>
    <row r="41" spans="1:22" x14ac:dyDescent="0.3">
      <c r="A41" s="2" t="s">
        <v>3</v>
      </c>
      <c r="B41" s="2" t="s">
        <v>8</v>
      </c>
      <c r="C41" s="6" t="s">
        <v>9</v>
      </c>
      <c r="D41" s="6" t="s">
        <v>12</v>
      </c>
      <c r="E41" s="6" t="s">
        <v>117</v>
      </c>
      <c r="F41" s="7" t="s">
        <v>118</v>
      </c>
      <c r="H41" s="6">
        <v>15</v>
      </c>
      <c r="J41" s="6">
        <v>3</v>
      </c>
      <c r="L41" s="8">
        <v>2</v>
      </c>
      <c r="M41" s="8">
        <v>0</v>
      </c>
      <c r="N41" s="6">
        <v>10</v>
      </c>
      <c r="P41" s="8">
        <v>5</v>
      </c>
      <c r="R41" s="8">
        <v>1</v>
      </c>
      <c r="T41" s="8">
        <v>5</v>
      </c>
      <c r="U41" s="8">
        <v>0</v>
      </c>
      <c r="V41" s="13">
        <v>10</v>
      </c>
    </row>
    <row r="42" spans="1:22" x14ac:dyDescent="0.3">
      <c r="A42" s="44" t="s">
        <v>8</v>
      </c>
      <c r="B42" s="45"/>
      <c r="C42" s="25"/>
      <c r="D42" s="25"/>
      <c r="E42" s="25"/>
      <c r="F42" s="25"/>
      <c r="H42" s="28">
        <f t="shared" ref="H42" si="33">SUM(H39:H41)</f>
        <v>46</v>
      </c>
      <c r="J42" s="28">
        <f t="shared" ref="J42" si="34">SUM(J39:J41)</f>
        <v>12</v>
      </c>
      <c r="L42" s="28">
        <f t="shared" ref="L42:N42" si="35">SUM(L39:L41)</f>
        <v>17</v>
      </c>
      <c r="M42" s="28">
        <f t="shared" si="35"/>
        <v>7</v>
      </c>
      <c r="N42" s="28">
        <f t="shared" si="35"/>
        <v>30</v>
      </c>
      <c r="P42" s="32">
        <f t="shared" ref="P42" si="36">SUM(P39:P41)</f>
        <v>19</v>
      </c>
      <c r="Q42" s="19"/>
      <c r="R42" s="32">
        <f t="shared" ref="R42" si="37">SUM(R39:R41)</f>
        <v>4</v>
      </c>
      <c r="S42" s="19"/>
      <c r="T42" s="32">
        <f t="shared" ref="T42:V42" si="38">SUM(T39:T41)</f>
        <v>10</v>
      </c>
      <c r="U42" s="32">
        <f t="shared" si="38"/>
        <v>0</v>
      </c>
      <c r="V42" s="32">
        <f t="shared" si="38"/>
        <v>30</v>
      </c>
    </row>
    <row r="43" spans="1:22" x14ac:dyDescent="0.3">
      <c r="A43" s="2" t="s">
        <v>3</v>
      </c>
      <c r="B43" s="6" t="s">
        <v>13</v>
      </c>
      <c r="C43" s="6" t="s">
        <v>9</v>
      </c>
      <c r="D43" s="6" t="s">
        <v>14</v>
      </c>
      <c r="E43" s="6" t="s">
        <v>119</v>
      </c>
      <c r="F43" s="7" t="s">
        <v>120</v>
      </c>
      <c r="H43" s="6">
        <v>23</v>
      </c>
      <c r="J43" s="6">
        <v>2</v>
      </c>
      <c r="L43" s="8">
        <v>23</v>
      </c>
      <c r="M43" s="8">
        <v>0</v>
      </c>
      <c r="N43" s="6">
        <v>10</v>
      </c>
      <c r="P43" s="8">
        <v>27</v>
      </c>
      <c r="R43" s="8">
        <v>2</v>
      </c>
      <c r="T43" s="8">
        <v>27</v>
      </c>
      <c r="U43" s="8">
        <v>1</v>
      </c>
      <c r="V43" s="8">
        <v>10</v>
      </c>
    </row>
    <row r="44" spans="1:22" x14ac:dyDescent="0.3">
      <c r="A44" s="54" t="s">
        <v>13</v>
      </c>
      <c r="B44" s="55"/>
      <c r="C44" s="25"/>
      <c r="D44" s="25"/>
      <c r="E44" s="25"/>
      <c r="F44" s="25"/>
      <c r="H44" s="28">
        <f t="shared" ref="H44" si="39">SUM(H43)</f>
        <v>23</v>
      </c>
      <c r="J44" s="28">
        <f t="shared" ref="J44" si="40">SUM(J43)</f>
        <v>2</v>
      </c>
      <c r="L44" s="28">
        <f t="shared" ref="L44:N44" si="41">SUM(L43)</f>
        <v>23</v>
      </c>
      <c r="M44" s="28">
        <f t="shared" si="41"/>
        <v>0</v>
      </c>
      <c r="N44" s="28">
        <f t="shared" si="41"/>
        <v>10</v>
      </c>
      <c r="P44" s="32">
        <f t="shared" ref="P44" si="42">SUM(P43)</f>
        <v>27</v>
      </c>
      <c r="Q44" s="19"/>
      <c r="R44" s="32">
        <f t="shared" ref="R44" si="43">SUM(R43)</f>
        <v>2</v>
      </c>
      <c r="S44" s="19"/>
      <c r="T44" s="32">
        <f t="shared" ref="T44:V44" si="44">SUM(T43)</f>
        <v>27</v>
      </c>
      <c r="U44" s="32">
        <f t="shared" si="44"/>
        <v>1</v>
      </c>
      <c r="V44" s="32">
        <f t="shared" si="44"/>
        <v>10</v>
      </c>
    </row>
    <row r="45" spans="1:22" x14ac:dyDescent="0.3">
      <c r="A45" s="2" t="s">
        <v>3</v>
      </c>
      <c r="B45" s="6" t="s">
        <v>15</v>
      </c>
      <c r="C45" s="6" t="s">
        <v>9</v>
      </c>
      <c r="D45" s="6" t="s">
        <v>121</v>
      </c>
      <c r="E45" s="6" t="s">
        <v>122</v>
      </c>
      <c r="F45" s="7" t="s">
        <v>123</v>
      </c>
      <c r="H45" s="6">
        <v>5</v>
      </c>
      <c r="J45" s="6">
        <v>1</v>
      </c>
      <c r="L45" s="8">
        <v>0</v>
      </c>
      <c r="M45" s="8">
        <v>0</v>
      </c>
      <c r="N45" s="6">
        <v>10</v>
      </c>
      <c r="P45" s="8">
        <v>6</v>
      </c>
      <c r="R45" s="8">
        <v>1</v>
      </c>
      <c r="T45" s="8">
        <v>6</v>
      </c>
      <c r="U45" s="8">
        <v>0</v>
      </c>
      <c r="V45" s="8">
        <v>10</v>
      </c>
    </row>
    <row r="46" spans="1:22" x14ac:dyDescent="0.3">
      <c r="A46" s="54" t="s">
        <v>15</v>
      </c>
      <c r="B46" s="55"/>
      <c r="C46" s="25"/>
      <c r="D46" s="25"/>
      <c r="E46" s="25"/>
      <c r="F46" s="25"/>
      <c r="H46" s="28">
        <f t="shared" ref="H46" si="45">SUM(H45)</f>
        <v>5</v>
      </c>
      <c r="J46" s="28">
        <f t="shared" ref="J46" si="46">SUM(J45)</f>
        <v>1</v>
      </c>
      <c r="L46" s="28">
        <f t="shared" ref="L46:N46" si="47">SUM(L45)</f>
        <v>0</v>
      </c>
      <c r="M46" s="28">
        <f t="shared" si="47"/>
        <v>0</v>
      </c>
      <c r="N46" s="28">
        <f t="shared" si="47"/>
        <v>10</v>
      </c>
      <c r="P46" s="32">
        <f t="shared" ref="P46" si="48">SUM(P45)</f>
        <v>6</v>
      </c>
      <c r="Q46" s="19"/>
      <c r="R46" s="32">
        <f t="shared" ref="R46" si="49">SUM(R45)</f>
        <v>1</v>
      </c>
      <c r="S46" s="19"/>
      <c r="T46" s="32">
        <f t="shared" ref="T46:V46" si="50">SUM(T45)</f>
        <v>6</v>
      </c>
      <c r="U46" s="32">
        <f t="shared" si="50"/>
        <v>0</v>
      </c>
      <c r="V46" s="32">
        <f t="shared" si="50"/>
        <v>10</v>
      </c>
    </row>
    <row r="47" spans="1:22" x14ac:dyDescent="0.3">
      <c r="A47" s="2" t="s">
        <v>3</v>
      </c>
      <c r="B47" s="6" t="s">
        <v>4</v>
      </c>
      <c r="C47" s="6" t="s">
        <v>5</v>
      </c>
      <c r="D47" s="6" t="s">
        <v>7</v>
      </c>
      <c r="E47" s="6" t="s">
        <v>124</v>
      </c>
      <c r="F47" s="7" t="s">
        <v>125</v>
      </c>
      <c r="H47" s="6">
        <v>5</v>
      </c>
      <c r="J47" s="6">
        <v>0</v>
      </c>
      <c r="L47" s="8">
        <v>0</v>
      </c>
      <c r="M47" s="8">
        <v>0</v>
      </c>
      <c r="N47" s="6">
        <v>10</v>
      </c>
      <c r="P47" s="8">
        <v>2</v>
      </c>
      <c r="R47" s="8">
        <v>1</v>
      </c>
      <c r="T47" s="8">
        <v>0</v>
      </c>
      <c r="U47" s="8">
        <v>0</v>
      </c>
      <c r="V47" s="8">
        <v>10</v>
      </c>
    </row>
    <row r="48" spans="1:22" x14ac:dyDescent="0.3">
      <c r="A48" s="2" t="s">
        <v>3</v>
      </c>
      <c r="B48" s="6" t="s">
        <v>4</v>
      </c>
      <c r="C48" s="6" t="s">
        <v>5</v>
      </c>
      <c r="D48" s="6" t="s">
        <v>7</v>
      </c>
      <c r="E48" s="6" t="s">
        <v>126</v>
      </c>
      <c r="F48" s="7" t="s">
        <v>127</v>
      </c>
      <c r="H48" s="6">
        <v>31</v>
      </c>
      <c r="J48" s="6">
        <v>0</v>
      </c>
      <c r="L48" s="8">
        <v>0</v>
      </c>
      <c r="M48" s="8">
        <v>0</v>
      </c>
      <c r="N48" s="6">
        <v>10</v>
      </c>
      <c r="P48" s="8">
        <v>13</v>
      </c>
      <c r="R48" s="8">
        <v>1</v>
      </c>
      <c r="T48" s="8">
        <v>10</v>
      </c>
      <c r="U48" s="8">
        <v>0</v>
      </c>
      <c r="V48" s="8">
        <v>10</v>
      </c>
    </row>
    <row r="49" spans="1:22" x14ac:dyDescent="0.3">
      <c r="A49" s="2" t="s">
        <v>3</v>
      </c>
      <c r="B49" s="6" t="s">
        <v>4</v>
      </c>
      <c r="C49" s="6" t="s">
        <v>5</v>
      </c>
      <c r="D49" s="6" t="s">
        <v>7</v>
      </c>
      <c r="E49" s="6" t="s">
        <v>128</v>
      </c>
      <c r="F49" s="7" t="s">
        <v>129</v>
      </c>
      <c r="H49" s="6">
        <v>18</v>
      </c>
      <c r="J49" s="6">
        <v>0</v>
      </c>
      <c r="L49" s="8">
        <v>2</v>
      </c>
      <c r="M49" s="8">
        <v>0</v>
      </c>
      <c r="N49" s="6">
        <v>10</v>
      </c>
      <c r="P49" s="8">
        <v>8</v>
      </c>
      <c r="R49" s="8">
        <v>1</v>
      </c>
      <c r="T49" s="8">
        <v>4</v>
      </c>
      <c r="U49" s="8">
        <v>0</v>
      </c>
      <c r="V49" s="8">
        <v>10</v>
      </c>
    </row>
    <row r="50" spans="1:22" x14ac:dyDescent="0.3">
      <c r="A50" s="56" t="s">
        <v>4</v>
      </c>
      <c r="B50" s="57"/>
      <c r="C50" s="25"/>
      <c r="D50" s="25"/>
      <c r="E50" s="25"/>
      <c r="F50" s="25"/>
      <c r="H50" s="28">
        <f t="shared" ref="H50" si="51">SUM(H47:H49)</f>
        <v>54</v>
      </c>
      <c r="J50" s="28">
        <f t="shared" ref="J50" si="52">SUM(J47:J49)</f>
        <v>0</v>
      </c>
      <c r="L50" s="28">
        <f t="shared" ref="L50:N50" si="53">SUM(L47:L49)</f>
        <v>2</v>
      </c>
      <c r="M50" s="28">
        <f t="shared" si="53"/>
        <v>0</v>
      </c>
      <c r="N50" s="28">
        <f t="shared" si="53"/>
        <v>30</v>
      </c>
      <c r="P50" s="32">
        <f t="shared" ref="P50" si="54">SUM(P47:P49)</f>
        <v>23</v>
      </c>
      <c r="Q50" s="19"/>
      <c r="R50" s="32">
        <f t="shared" ref="R50" si="55">SUM(R47:R49)</f>
        <v>3</v>
      </c>
      <c r="S50" s="19"/>
      <c r="T50" s="32">
        <f t="shared" ref="T50:V50" si="56">SUM(T47:T49)</f>
        <v>14</v>
      </c>
      <c r="U50" s="32">
        <f t="shared" si="56"/>
        <v>0</v>
      </c>
      <c r="V50" s="32">
        <f t="shared" si="56"/>
        <v>30</v>
      </c>
    </row>
    <row r="51" spans="1:22" x14ac:dyDescent="0.3">
      <c r="A51" s="48" t="s">
        <v>3</v>
      </c>
      <c r="B51" s="49"/>
      <c r="C51" s="16"/>
      <c r="D51" s="16"/>
      <c r="E51" s="16"/>
      <c r="F51" s="16"/>
      <c r="G51" s="19"/>
      <c r="H51" s="17">
        <f t="shared" ref="H51" si="57">SUM(H42,H44,H46,H50)</f>
        <v>128</v>
      </c>
      <c r="I51" s="19"/>
      <c r="J51" s="17">
        <f t="shared" ref="J51" si="58">SUM(J42,J44,J46,J50)</f>
        <v>15</v>
      </c>
      <c r="K51" s="19"/>
      <c r="L51" s="17">
        <f t="shared" ref="L51:N51" si="59">SUM(L42,L44,L46,L50)</f>
        <v>42</v>
      </c>
      <c r="M51" s="17">
        <f t="shared" si="59"/>
        <v>7</v>
      </c>
      <c r="N51" s="17">
        <f t="shared" si="59"/>
        <v>80</v>
      </c>
      <c r="O51" s="19"/>
      <c r="P51" s="17">
        <f t="shared" ref="P51" si="60">SUM(P42,P44,P46,P50)</f>
        <v>75</v>
      </c>
      <c r="Q51" s="19"/>
      <c r="R51" s="17">
        <f t="shared" ref="R51" si="61">SUM(R42,R44,R46,R50)</f>
        <v>10</v>
      </c>
      <c r="S51" s="19"/>
      <c r="T51" s="17">
        <f t="shared" ref="T51:V51" si="62">SUM(T42,T44,T46,T50)</f>
        <v>57</v>
      </c>
      <c r="U51" s="17">
        <f t="shared" si="62"/>
        <v>1</v>
      </c>
      <c r="V51" s="17">
        <f t="shared" si="62"/>
        <v>80</v>
      </c>
    </row>
    <row r="52" spans="1:22" x14ac:dyDescent="0.3">
      <c r="A52" s="48" t="s">
        <v>130</v>
      </c>
      <c r="B52" s="49"/>
      <c r="C52" s="16"/>
      <c r="D52" s="16"/>
      <c r="E52" s="16"/>
      <c r="F52" s="16"/>
      <c r="G52" s="19"/>
      <c r="H52" s="17">
        <f t="shared" ref="H52" si="63">SUM(H38,H51)</f>
        <v>370</v>
      </c>
      <c r="I52" s="19"/>
      <c r="J52" s="17">
        <f t="shared" ref="J52" si="64">SUM(J38,J51)</f>
        <v>85</v>
      </c>
      <c r="K52" s="19"/>
      <c r="L52" s="17">
        <f t="shared" ref="L52:N52" si="65">SUM(L38,L51)</f>
        <v>97</v>
      </c>
      <c r="M52" s="17">
        <f t="shared" si="65"/>
        <v>29</v>
      </c>
      <c r="N52" s="17">
        <f t="shared" si="65"/>
        <v>275</v>
      </c>
      <c r="O52" s="19"/>
      <c r="P52" s="17">
        <f t="shared" ref="P52" si="66">SUM(P38,P51)</f>
        <v>140</v>
      </c>
      <c r="Q52" s="19"/>
      <c r="R52" s="17">
        <f t="shared" ref="R52" si="67">SUM(R38,R51)</f>
        <v>80</v>
      </c>
      <c r="S52" s="19"/>
      <c r="T52" s="17">
        <f t="shared" ref="T52:V52" si="68">SUM(T38,T51)</f>
        <v>82</v>
      </c>
      <c r="U52" s="17">
        <f t="shared" si="68"/>
        <v>39</v>
      </c>
      <c r="V52" s="17">
        <f t="shared" si="68"/>
        <v>355</v>
      </c>
    </row>
  </sheetData>
  <autoFilter ref="A3:V52" xr:uid="{BE5C216E-21AD-4191-ABBC-7A78E9446588}"/>
  <mergeCells count="20">
    <mergeCell ref="A51:B51"/>
    <mergeCell ref="A52:B52"/>
    <mergeCell ref="A37:B37"/>
    <mergeCell ref="A38:B38"/>
    <mergeCell ref="A42:B42"/>
    <mergeCell ref="A44:B44"/>
    <mergeCell ref="A46:B46"/>
    <mergeCell ref="A50:B50"/>
    <mergeCell ref="L1:N1"/>
    <mergeCell ref="T1:V1"/>
    <mergeCell ref="A9:B9"/>
    <mergeCell ref="A17:B17"/>
    <mergeCell ref="A27:B27"/>
    <mergeCell ref="E1:E2"/>
    <mergeCell ref="F1:F2"/>
    <mergeCell ref="A33:B33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Phụng Bùi</cp:lastModifiedBy>
  <dcterms:modified xsi:type="dcterms:W3CDTF">2026-09-25T09:29:18Z</dcterms:modified>
</cp:coreProperties>
</file>